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6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8" customWidth="1" min="4" max="4"/>
    <col width="14" customWidth="1" min="5" max="5"/>
    <col width="9" customWidth="1" min="6" max="6"/>
    <col width="10" customWidth="1" min="7" max="7"/>
    <col width="10" customWidth="1" min="8" max="8"/>
    <col width="22" customWidth="1" min="9" max="9"/>
    <col width="16" customWidth="1" min="10" max="10"/>
  </cols>
  <sheetData>
    <row r="1">
      <c r="A1" s="1" t="inlineStr">
        <is>
          <t>주문일</t>
        </is>
      </c>
      <c r="B1" s="1" t="inlineStr">
        <is>
          <t>주문일시</t>
        </is>
      </c>
      <c r="C1" s="1" t="inlineStr">
        <is>
          <t>코드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할인율</t>
        </is>
      </c>
      <c r="G1" s="1" t="inlineStr">
        <is>
          <t>배송완료</t>
        </is>
      </c>
      <c r="H1" s="1" t="inlineStr">
        <is>
          <t>상태</t>
        </is>
      </c>
      <c r="I1" s="1" t="inlineStr">
        <is>
          <t>비고</t>
        </is>
      </c>
      <c r="J1" s="1" t="inlineStr">
        <is>
          <t>금액</t>
        </is>
      </c>
    </row>
    <row r="2">
      <c r="A2" s="2" t="n">
        <v>46199</v>
      </c>
      <c r="B2" s="3" t="n">
        <v>46199.46666666667</v>
      </c>
      <c r="C2" s="4" t="inlineStr">
        <is>
          <t>06922</t>
        </is>
      </c>
      <c r="D2" t="n">
        <v>29</v>
      </c>
      <c r="E2" s="5" t="n">
        <v>48149.43</v>
      </c>
      <c r="F2" s="6" t="n">
        <v>0</v>
      </c>
      <c r="G2" t="b">
        <v>1</v>
      </c>
      <c r="H2" t="inlineStr">
        <is>
          <t>처리중</t>
        </is>
      </c>
      <c r="I2" t="inlineStr">
        <is>
          <t>고객 요청으로 변경</t>
        </is>
      </c>
      <c r="J2" s="5">
        <f>D2*E2*(1-F2)</f>
        <v>1396333.47</v>
      </c>
    </row>
    <row r="3">
      <c r="A3" s="2" t="n">
        <v>46195</v>
      </c>
      <c r="B3" s="3" t="n">
        <v>46195.60833333333</v>
      </c>
      <c r="C3" s="4" t="inlineStr">
        <is>
          <t>03836</t>
        </is>
      </c>
      <c r="D3" t="n">
        <v>42</v>
      </c>
      <c r="E3" s="5" t="n">
        <v>68947.95</v>
      </c>
      <c r="F3" s="6" t="n">
        <v>0.125</v>
      </c>
      <c r="G3" t="b">
        <v>0</v>
      </c>
      <c r="H3" t="inlineStr">
        <is>
          <t>취소</t>
        </is>
      </c>
      <c r="J3" s="5">
        <f>D3*E3*(1-F3)</f>
        <v>2533837.1625</v>
      </c>
    </row>
    <row r="4">
      <c r="A4" s="2" t="n">
        <v>46152</v>
      </c>
      <c r="B4" s="3" t="n">
        <v>46152.41875</v>
      </c>
      <c r="C4" s="4" t="inlineStr">
        <is>
          <t>06403</t>
        </is>
      </c>
      <c r="D4" t="n">
        <v>43</v>
      </c>
      <c r="E4" s="5" t="n">
        <v>27190.53</v>
      </c>
      <c r="F4" s="6" t="n">
        <v>0.1</v>
      </c>
      <c r="G4" t="b">
        <v>0</v>
      </c>
      <c r="H4" t="inlineStr">
        <is>
          <t>처리중</t>
        </is>
      </c>
      <c r="I4" t="inlineStr">
        <is>
          <t>긴급</t>
        </is>
      </c>
      <c r="J4" s="5">
        <f>D4*E4*(1-F4)</f>
        <v>1052273.5110000002</v>
      </c>
    </row>
    <row r="5">
      <c r="A5" s="2" t="n">
        <v>46104</v>
      </c>
      <c r="B5" s="3" t="n">
        <v>46104.33472222222</v>
      </c>
      <c r="C5" s="4" t="inlineStr">
        <is>
          <t>00209</t>
        </is>
      </c>
      <c r="D5" t="n">
        <v>45</v>
      </c>
      <c r="E5" s="5" t="n">
        <v>81489.98</v>
      </c>
      <c r="F5" s="6" t="n">
        <v>0</v>
      </c>
      <c r="G5" t="b">
        <v>1</v>
      </c>
      <c r="H5" t="inlineStr">
        <is>
          <t>취소</t>
        </is>
      </c>
      <c r="J5" s="5">
        <f>D5*E5*(1-F5)</f>
        <v>3667049.0999999996</v>
      </c>
    </row>
    <row r="6">
      <c r="A6" s="2" t="n">
        <v>46164</v>
      </c>
      <c r="B6" s="3" t="n">
        <v>46164.7375</v>
      </c>
      <c r="C6" s="4" t="inlineStr">
        <is>
          <t>00609</t>
        </is>
      </c>
      <c r="D6" t="n">
        <v>29</v>
      </c>
      <c r="E6" s="5" t="n">
        <v>49684.96</v>
      </c>
      <c r="F6" s="6" t="n">
        <v>0</v>
      </c>
      <c r="G6" t="b">
        <v>0</v>
      </c>
      <c r="H6" t="inlineStr">
        <is>
          <t>처리중</t>
        </is>
      </c>
      <c r="I6" t="inlineStr">
        <is>
          <t>고객 요청으로 변경</t>
        </is>
      </c>
      <c r="J6" s="5">
        <f>D6*E6*(1-F6)</f>
        <v>1440863.84</v>
      </c>
    </row>
    <row r="7">
      <c r="A7" s="2" t="n">
        <v>46138</v>
      </c>
      <c r="B7" s="3" t="n">
        <v>46138.70555555556</v>
      </c>
      <c r="C7" s="4" t="inlineStr">
        <is>
          <t>04459</t>
        </is>
      </c>
      <c r="D7" t="n">
        <v>49</v>
      </c>
      <c r="E7" s="5" t="n">
        <v>20470.65</v>
      </c>
      <c r="F7" s="6" t="n">
        <v>0</v>
      </c>
      <c r="G7" t="b">
        <v>1</v>
      </c>
      <c r="H7" t="inlineStr">
        <is>
          <t>처리중</t>
        </is>
      </c>
      <c r="I7" t="inlineStr">
        <is>
          <t>고객 요청으로 변경</t>
        </is>
      </c>
      <c r="J7" s="5">
        <f>D7*E7*(1-F7)</f>
        <v>1003061.8500000001</v>
      </c>
    </row>
    <row r="8">
      <c r="A8" s="2" t="n">
        <v>46173</v>
      </c>
      <c r="B8" s="3" t="n">
        <v>46173.475</v>
      </c>
      <c r="C8" s="4" t="inlineStr">
        <is>
          <t>06315</t>
        </is>
      </c>
      <c r="D8" t="n">
        <v>9</v>
      </c>
      <c r="E8" s="5" t="n">
        <v>92777.71000000001</v>
      </c>
      <c r="F8" s="6" t="n">
        <v>0.05</v>
      </c>
      <c r="G8" t="b">
        <v>1</v>
      </c>
      <c r="H8" t="inlineStr">
        <is>
          <t>접수</t>
        </is>
      </c>
      <c r="J8" s="5">
        <f>D8*E8*(1-F8)</f>
        <v>793249.4205</v>
      </c>
    </row>
    <row r="9">
      <c r="A9" s="2" t="n">
        <v>46147</v>
      </c>
      <c r="B9" s="3" t="n">
        <v>46147.57916666667</v>
      </c>
      <c r="C9" s="4" t="inlineStr">
        <is>
          <t>03378</t>
        </is>
      </c>
      <c r="D9" t="n">
        <v>16</v>
      </c>
      <c r="E9" s="5" t="n">
        <v>41371.45</v>
      </c>
      <c r="F9" s="6" t="n">
        <v>0.125</v>
      </c>
      <c r="G9" t="b">
        <v>1</v>
      </c>
      <c r="H9" t="inlineStr">
        <is>
          <t>접수</t>
        </is>
      </c>
      <c r="I9" t="inlineStr">
        <is>
          <t>긴급</t>
        </is>
      </c>
      <c r="J9" s="5">
        <f>D9*E9*(1-F9)</f>
        <v>579200.2999999999</v>
      </c>
    </row>
    <row r="10">
      <c r="A10" s="2" t="n">
        <v>46087</v>
      </c>
      <c r="B10" s="3" t="n">
        <v>46087.81736111111</v>
      </c>
      <c r="C10" s="4" t="inlineStr">
        <is>
          <t>06462</t>
        </is>
      </c>
      <c r="D10" t="n">
        <v>20</v>
      </c>
      <c r="E10" s="5" t="n">
        <v>13559.01</v>
      </c>
      <c r="F10" s="6" t="n">
        <v>0.125</v>
      </c>
      <c r="G10" t="b">
        <v>0</v>
      </c>
      <c r="H10" t="inlineStr">
        <is>
          <t>취소</t>
        </is>
      </c>
      <c r="I10" t="inlineStr">
        <is>
          <t>고객 요청으로 변경</t>
        </is>
      </c>
      <c r="J10" s="5">
        <f>D10*E10*(1-F10)</f>
        <v>237282.67500000002</v>
      </c>
    </row>
    <row r="11">
      <c r="A11" s="2" t="n">
        <v>46116</v>
      </c>
      <c r="B11" s="3" t="n">
        <v>46116.84375</v>
      </c>
      <c r="C11" s="4" t="inlineStr">
        <is>
          <t>06912</t>
        </is>
      </c>
      <c r="D11" t="n">
        <v>48</v>
      </c>
      <c r="E11" s="5" t="n">
        <v>82608.60000000001</v>
      </c>
      <c r="F11" s="6" t="n">
        <v>0.2</v>
      </c>
      <c r="G11" t="b">
        <v>1</v>
      </c>
      <c r="H11" t="inlineStr">
        <is>
          <t>취소</t>
        </is>
      </c>
      <c r="J11" s="5">
        <f>D11*E11*(1-F11)</f>
        <v>3172170.24</v>
      </c>
    </row>
    <row r="12">
      <c r="A12" s="2" t="n">
        <v>46159</v>
      </c>
      <c r="B12" s="3" t="n">
        <v>46159.41597222222</v>
      </c>
      <c r="C12" s="4" t="inlineStr">
        <is>
          <t>06577</t>
        </is>
      </c>
      <c r="D12" t="n">
        <v>26</v>
      </c>
      <c r="E12" s="5" t="n">
        <v>80299.33</v>
      </c>
      <c r="F12" s="6" t="n">
        <v>0.2</v>
      </c>
      <c r="G12" t="b">
        <v>1</v>
      </c>
      <c r="H12" t="inlineStr">
        <is>
          <t>처리중</t>
        </is>
      </c>
      <c r="J12" s="5">
        <f>D12*E12*(1-F12)</f>
        <v>1670226.0640000002</v>
      </c>
    </row>
    <row r="13">
      <c r="A13" s="2" t="n">
        <v>46195</v>
      </c>
      <c r="B13" s="3" t="n">
        <v>46195.57708333333</v>
      </c>
      <c r="C13" s="4" t="inlineStr">
        <is>
          <t>02980</t>
        </is>
      </c>
      <c r="D13" t="n">
        <v>23</v>
      </c>
      <c r="E13" s="5" t="n">
        <v>65243.22</v>
      </c>
      <c r="F13" s="6" t="n">
        <v>0</v>
      </c>
      <c r="G13" t="b">
        <v>1</v>
      </c>
      <c r="H13" t="inlineStr">
        <is>
          <t>접수</t>
        </is>
      </c>
      <c r="J13" s="5">
        <f>D13*E13*(1-F13)</f>
        <v>1500594.06</v>
      </c>
    </row>
    <row r="14">
      <c r="A14" s="2" t="n">
        <v>46154</v>
      </c>
      <c r="B14" s="3" t="n">
        <v>46154.67430555556</v>
      </c>
      <c r="C14" s="4" t="inlineStr">
        <is>
          <t>09671</t>
        </is>
      </c>
      <c r="D14" t="n">
        <v>20</v>
      </c>
      <c r="E14" s="5" t="n">
        <v>37328.53</v>
      </c>
      <c r="F14" s="6" t="n">
        <v>0</v>
      </c>
      <c r="G14" t="b">
        <v>0</v>
      </c>
      <c r="H14" t="inlineStr">
        <is>
          <t>처리중</t>
        </is>
      </c>
      <c r="I14" t="inlineStr">
        <is>
          <t>긴급</t>
        </is>
      </c>
      <c r="J14" s="5">
        <f>D14*E14*(1-F14)</f>
        <v>746570.6</v>
      </c>
    </row>
    <row r="15">
      <c r="A15" s="2" t="n">
        <v>46097</v>
      </c>
      <c r="B15" s="3" t="n">
        <v>46097.71944444445</v>
      </c>
      <c r="C15" s="4" t="inlineStr">
        <is>
          <t>07693</t>
        </is>
      </c>
      <c r="D15" t="n">
        <v>47</v>
      </c>
      <c r="E15" s="5" t="n">
        <v>31277.19</v>
      </c>
      <c r="F15" s="6" t="n">
        <v>0.125</v>
      </c>
      <c r="G15" t="b">
        <v>0</v>
      </c>
      <c r="H15" t="inlineStr">
        <is>
          <t>완료</t>
        </is>
      </c>
      <c r="I15" t="inlineStr">
        <is>
          <t>고객 요청으로 변경</t>
        </is>
      </c>
      <c r="J15" s="5">
        <f>D15*E15*(1-F15)</f>
        <v>1286274.43875</v>
      </c>
    </row>
    <row r="16">
      <c r="A16" s="2" t="n">
        <v>46088</v>
      </c>
      <c r="B16" s="3" t="n">
        <v>46088.48611111111</v>
      </c>
      <c r="C16" s="4" t="inlineStr">
        <is>
          <t>01255</t>
        </is>
      </c>
      <c r="D16" t="n">
        <v>24</v>
      </c>
      <c r="E16" s="5" t="n">
        <v>99313.86</v>
      </c>
      <c r="F16" s="6" t="n">
        <v>0.1</v>
      </c>
      <c r="G16" t="b">
        <v>0</v>
      </c>
      <c r="H16" t="inlineStr">
        <is>
          <t>완료</t>
        </is>
      </c>
      <c r="J16" s="5">
        <f>D16*E16*(1-F16)</f>
        <v>2145179.376</v>
      </c>
    </row>
    <row r="17">
      <c r="A17" s="2" t="n">
        <v>46100</v>
      </c>
      <c r="B17" s="3" t="n">
        <v>46100.44375</v>
      </c>
      <c r="C17" s="4" t="inlineStr">
        <is>
          <t>00587</t>
        </is>
      </c>
      <c r="D17" t="n">
        <v>11</v>
      </c>
      <c r="E17" s="5" t="n">
        <v>77672.17999999999</v>
      </c>
      <c r="F17" s="6" t="n">
        <v>0.125</v>
      </c>
      <c r="G17" t="b">
        <v>1</v>
      </c>
      <c r="H17" t="inlineStr">
        <is>
          <t>처리중</t>
        </is>
      </c>
      <c r="I17" t="inlineStr">
        <is>
          <t>고객 요청으로 변경</t>
        </is>
      </c>
      <c r="J17" s="5">
        <f>D17*E17*(1-F17)</f>
        <v>747594.7324999999</v>
      </c>
    </row>
    <row r="18">
      <c r="A18" s="2" t="n">
        <v>46100</v>
      </c>
      <c r="B18" s="3" t="n">
        <v>46100.85625</v>
      </c>
      <c r="C18" s="4" t="inlineStr">
        <is>
          <t>09968</t>
        </is>
      </c>
      <c r="D18" t="n">
        <v>28</v>
      </c>
      <c r="E18" s="5" t="n">
        <v>70629.84</v>
      </c>
      <c r="F18" s="6" t="n">
        <v>0.1</v>
      </c>
      <c r="G18" t="b">
        <v>1</v>
      </c>
      <c r="H18" t="inlineStr">
        <is>
          <t>처리중</t>
        </is>
      </c>
      <c r="J18" s="5">
        <f>D18*E18*(1-F18)</f>
        <v>1779871.968</v>
      </c>
    </row>
    <row r="19">
      <c r="A19" s="2" t="n">
        <v>46167</v>
      </c>
      <c r="B19" s="3" t="n">
        <v>46167.64097222222</v>
      </c>
      <c r="C19" s="4" t="inlineStr">
        <is>
          <t>01955</t>
        </is>
      </c>
      <c r="D19" t="n">
        <v>10</v>
      </c>
      <c r="E19" s="5" t="n">
        <v>38254.59</v>
      </c>
      <c r="F19" s="6" t="n">
        <v>0.125</v>
      </c>
      <c r="G19" t="b">
        <v>1</v>
      </c>
      <c r="H19" t="inlineStr">
        <is>
          <t>취소</t>
        </is>
      </c>
      <c r="I19" t="inlineStr">
        <is>
          <t>긴급</t>
        </is>
      </c>
      <c r="J19" s="5">
        <f>D19*E19*(1-F19)</f>
        <v>334727.6625</v>
      </c>
    </row>
    <row r="20">
      <c r="A20" s="2" t="n">
        <v>46088</v>
      </c>
      <c r="B20" s="3" t="n">
        <v>46088.66805555556</v>
      </c>
      <c r="C20" s="4" t="inlineStr">
        <is>
          <t>03534</t>
        </is>
      </c>
      <c r="D20" t="n">
        <v>39</v>
      </c>
      <c r="E20" s="5" t="n">
        <v>68057.83</v>
      </c>
      <c r="F20" s="6" t="n">
        <v>0</v>
      </c>
      <c r="G20" t="b">
        <v>1</v>
      </c>
      <c r="H20" t="inlineStr">
        <is>
          <t>접수</t>
        </is>
      </c>
      <c r="I20" t="inlineStr">
        <is>
          <t>긴급</t>
        </is>
      </c>
      <c r="J20" s="5">
        <f>D20*E20*(1-F20)</f>
        <v>2654255.37</v>
      </c>
    </row>
    <row r="21">
      <c r="A21" s="2" t="n">
        <v>46147</v>
      </c>
      <c r="B21" s="3" t="n">
        <v>46147.39166666667</v>
      </c>
      <c r="C21" s="4" t="inlineStr">
        <is>
          <t>03225</t>
        </is>
      </c>
      <c r="D21" t="n">
        <v>4</v>
      </c>
      <c r="E21" s="5" t="n">
        <v>20259.23</v>
      </c>
      <c r="F21" s="6" t="n">
        <v>0</v>
      </c>
      <c r="G21" t="b">
        <v>1</v>
      </c>
      <c r="H21" t="inlineStr">
        <is>
          <t>완료</t>
        </is>
      </c>
      <c r="I21" t="inlineStr">
        <is>
          <t>재고 확인 필요</t>
        </is>
      </c>
      <c r="J21" s="5">
        <f>D21*E21*(1-F21)</f>
        <v>81036.92</v>
      </c>
    </row>
    <row r="22">
      <c r="A22" s="2" t="n">
        <v>46387</v>
      </c>
      <c r="C22" s="4" t="inlineStr">
        <is>
          <t>00012</t>
        </is>
      </c>
      <c r="D22" t="n">
        <v>-3</v>
      </c>
      <c r="E22" t="n">
        <v>1234567890123450</v>
      </c>
      <c r="F22" s="7" t="n">
        <v>1e-05</v>
      </c>
      <c r="G22" t="b">
        <v>0</v>
      </c>
      <c r="H22" t="inlineStr">
        <is>
          <t>접수</t>
        </is>
      </c>
      <c r="J22">
        <f>D22*E22*(1-F22)</f>
        <v>-3703666633333646.5</v>
      </c>
    </row>
  </sheetData>
  <dataValidations count="1">
    <dataValidation sqref="H2 H3 H4 H5 H6 H7 H8 H9 H10 H11 H12 H13 H14 H15 H16 H17 H18 H19 H20 H21" showDropDown="0" showInputMessage="0" showErrorMessage="0" allowBlank="1" type="list">
      <formula1>"접수,처리중,완료,취소"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BI-Wizard synthetic sample</dc:creator>
  <dcterms:created xmlns:dcterms="http://purl.org/dc/terms/" xmlns:xsi="http://www.w3.org/2001/XMLSchema-instance" xsi:type="dcterms:W3CDTF">2026-10-11T00:00:00Z</dcterms:created>
  <dcterms:modified xmlns:dcterms="http://purl.org/dc/terms/" xmlns:xsi="http://www.w3.org/2001/XMLSchema-instance" xsi:type="dcterms:W3CDTF">2026-10-11T14:03:17Z</dcterms:modified>
  <cp:lastModifiedBy>BI-Wizard synthetic sample</cp:lastModifiedBy>
</cp:coreProperties>
</file>